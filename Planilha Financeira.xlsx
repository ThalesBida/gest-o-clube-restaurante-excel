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les Bida\OneDrive\Documentos\Projetos GIT\"/>
    </mc:Choice>
  </mc:AlternateContent>
  <xr:revisionPtr revIDLastSave="0" documentId="8_{F469675F-7443-42D9-AE79-8C298F795926}" xr6:coauthVersionLast="46" xr6:coauthVersionMax="46" xr10:uidLastSave="{00000000-0000-0000-0000-000000000000}"/>
  <bookViews>
    <workbookView xWindow="1950" yWindow="1485" windowWidth="17085" windowHeight="15480" xr2:uid="{4693305F-D9A3-438C-8E7A-4E88170839F4}"/>
  </bookViews>
  <sheets>
    <sheet name="Planilha Financeira" sheetId="3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E2" i="3"/>
  <c r="I2" i="3"/>
  <c r="D3" i="3"/>
  <c r="E3" i="3"/>
  <c r="I3" i="3"/>
  <c r="D4" i="3"/>
  <c r="E4" i="3" s="1"/>
  <c r="I4" i="3"/>
  <c r="D5" i="3"/>
  <c r="E5" i="3"/>
  <c r="I5" i="3"/>
  <c r="D6" i="3"/>
  <c r="E6" i="3"/>
  <c r="I6" i="3"/>
  <c r="D7" i="3"/>
  <c r="E7" i="3" s="1"/>
  <c r="I7" i="3"/>
  <c r="D8" i="3"/>
  <c r="E8" i="3"/>
  <c r="I8" i="3"/>
  <c r="E9" i="3"/>
  <c r="I9" i="3"/>
  <c r="D10" i="3"/>
  <c r="E10" i="3"/>
  <c r="H10" i="3"/>
  <c r="H33" i="3" s="1"/>
  <c r="I10" i="3"/>
  <c r="D11" i="3"/>
  <c r="E11" i="3"/>
  <c r="I11" i="3"/>
  <c r="D12" i="3"/>
  <c r="E12" i="3"/>
  <c r="I12" i="3"/>
  <c r="D13" i="3"/>
  <c r="E13" i="3"/>
  <c r="I13" i="3"/>
  <c r="D14" i="3"/>
  <c r="E14" i="3"/>
  <c r="I14" i="3"/>
  <c r="D15" i="3"/>
  <c r="E15" i="3"/>
  <c r="H15" i="3"/>
  <c r="I15" i="3"/>
  <c r="D16" i="3"/>
  <c r="E16" i="3"/>
  <c r="I16" i="3"/>
  <c r="D17" i="3"/>
  <c r="E17" i="3"/>
  <c r="I17" i="3"/>
  <c r="D18" i="3"/>
  <c r="E18" i="3"/>
  <c r="I18" i="3"/>
  <c r="D19" i="3"/>
  <c r="E19" i="3"/>
  <c r="I19" i="3"/>
  <c r="D20" i="3"/>
  <c r="E20" i="3" s="1"/>
  <c r="I20" i="3"/>
  <c r="D21" i="3"/>
  <c r="E21" i="3"/>
  <c r="I21" i="3"/>
  <c r="D22" i="3"/>
  <c r="E22" i="3"/>
  <c r="I22" i="3"/>
  <c r="D23" i="3"/>
  <c r="E23" i="3"/>
  <c r="H23" i="3"/>
  <c r="I23" i="3"/>
  <c r="D24" i="3"/>
  <c r="E24" i="3"/>
  <c r="I24" i="3"/>
  <c r="D25" i="3"/>
  <c r="E25" i="3"/>
  <c r="I25" i="3"/>
  <c r="D26" i="3"/>
  <c r="E26" i="3"/>
  <c r="I26" i="3"/>
  <c r="D27" i="3"/>
  <c r="E27" i="3"/>
  <c r="I27" i="3"/>
  <c r="D28" i="3"/>
  <c r="E28" i="3"/>
  <c r="I28" i="3"/>
  <c r="D29" i="3"/>
  <c r="E29" i="3"/>
  <c r="I29" i="3"/>
  <c r="E30" i="3"/>
  <c r="I30" i="3"/>
  <c r="D31" i="3"/>
  <c r="E31" i="3"/>
  <c r="I31" i="3"/>
  <c r="E32" i="3"/>
  <c r="I32" i="3"/>
  <c r="B33" i="3"/>
  <c r="C33" i="3"/>
  <c r="D33" i="3"/>
  <c r="F33" i="3"/>
  <c r="G33" i="3"/>
  <c r="I34" i="3" l="1"/>
  <c r="E34" i="3"/>
  <c r="J34" i="3" s="1"/>
</calcChain>
</file>

<file path=xl/sharedStrings.xml><?xml version="1.0" encoding="utf-8"?>
<sst xmlns="http://schemas.openxmlformats.org/spreadsheetml/2006/main" count="13" uniqueCount="9">
  <si>
    <t>TOTAL GERAL</t>
  </si>
  <si>
    <t>EXCEDENTES</t>
  </si>
  <si>
    <t>ALUGUEL</t>
  </si>
  <si>
    <t>TOTAL</t>
  </si>
  <si>
    <t>TOTAL DIA</t>
  </si>
  <si>
    <t>REF/BEB (R$)</t>
  </si>
  <si>
    <t>BEBIDAS (Qtd)</t>
  </si>
  <si>
    <t>REFEIÇÕES (Qtd)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</si>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</sst>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44" fontId="3" fillId="0" borderId="1" xfId="0" applyNumberFormat="1" applyFont="1" applyBorder="1" applyAlignment="1">
      <alignment horizontal="center" vertical="center"/>
    </xf>
    <xf numFmtId="44" fontId="3" fillId="0" borderId="2" xfId="0" applyNumberFormat="1" applyFont="1" applyBorder="1"/>
    <xf numFmtId="44" fontId="3" fillId="0" borderId="3" xfId="0" applyNumberFormat="1" applyFont="1" applyBorder="1"/>
    <xf numFmtId="0" fontId="4" fillId="2" borderId="4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4" fontId="3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44" fontId="5" fillId="4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4" fontId="1" fillId="0" borderId="0" xfId="1" applyFont="1" applyBorder="1"/>
    <xf numFmtId="44" fontId="2" fillId="0" borderId="3" xfId="1" applyFont="1" applyBorder="1"/>
    <xf numFmtId="44" fontId="1" fillId="0" borderId="3" xfId="1" applyFont="1" applyBorder="1"/>
    <xf numFmtId="2" fontId="1" fillId="0" borderId="3" xfId="1" applyNumberFormat="1" applyFont="1" applyBorder="1"/>
    <xf numFmtId="16" fontId="2" fillId="0" borderId="3" xfId="0" applyNumberFormat="1" applyFont="1" applyBorder="1" applyAlignment="1">
      <alignment horizontal="left"/>
    </xf>
    <xf numFmtId="44" fontId="2" fillId="5" borderId="3" xfId="1" applyFont="1" applyFill="1" applyBorder="1"/>
    <xf numFmtId="44" fontId="1" fillId="5" borderId="3" xfId="1" applyFont="1" applyFill="1" applyBorder="1"/>
    <xf numFmtId="2" fontId="1" fillId="5" borderId="3" xfId="1" applyNumberFormat="1" applyFont="1" applyFill="1" applyBorder="1"/>
    <xf numFmtId="44" fontId="2" fillId="6" borderId="3" xfId="1" applyFont="1" applyFill="1" applyBorder="1"/>
    <xf numFmtId="44" fontId="1" fillId="6" borderId="3" xfId="1" applyFont="1" applyFill="1" applyBorder="1"/>
    <xf numFmtId="2" fontId="1" fillId="6" borderId="3" xfId="1" applyNumberFormat="1" applyFont="1" applyFill="1" applyBorder="1"/>
    <xf numFmtId="0" fontId="6" fillId="7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4">
    <dxf>
      <font>
        <b/>
        <i val="0"/>
        <strike val="0"/>
        <u/>
      </font>
      <fill>
        <patternFill>
          <bgColor rgb="FFFF0000"/>
        </patternFill>
      </fill>
    </dxf>
    <dxf>
      <font>
        <b/>
        <i val="0"/>
        <strike val="0"/>
        <u/>
        <color theme="1"/>
      </font>
      <fill>
        <patternFill>
          <bgColor rgb="FFFF0000"/>
        </patternFill>
      </fill>
    </dxf>
    <dxf>
      <font>
        <b/>
        <i val="0"/>
        <strike val="0"/>
        <u/>
      </font>
      <fill>
        <patternFill>
          <bgColor rgb="FFFF0000"/>
        </patternFill>
      </fill>
    </dxf>
    <dxf>
      <font>
        <b/>
        <i val="0"/>
        <strike val="0"/>
        <u/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DISTRIBUIÇÃO</a:t>
            </a:r>
            <a:r>
              <a:rPr lang="en-US" b="1" baseline="0">
                <a:solidFill>
                  <a:schemeClr val="tx1"/>
                </a:solidFill>
              </a:rPr>
              <a:t> DA COTA DIÁRIA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26-4D47-AD37-2868C873E5D2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26-4D47-AD37-2868C873E5D2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426-4D47-AD37-2868C873E5D2}"/>
                </c:ext>
              </c:extLst>
            </c:dLbl>
            <c:dLbl>
              <c:idx val="1"/>
              <c:layout>
                <c:manualLayout>
                  <c:x val="8.1925256427665318E-3"/>
                  <c:y val="-2.0449897750511249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26-4D47-AD37-2868C873E5D2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solidFill>
                        <a:schemeClr val="bg1">
                          <a:alpha val="62000"/>
                        </a:schemeClr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('[1]ABRIL 2026'!$B$1,'[1]ABRIL 2026'!$C$1)</c:f>
              <c:strCache>
                <c:ptCount val="2"/>
                <c:pt idx="0">
                  <c:v>REFEIÇÕES (Qtd)</c:v>
                </c:pt>
                <c:pt idx="1">
                  <c:v>BEBIDAS (Qtd)</c:v>
                </c:pt>
              </c:strCache>
            </c:strRef>
          </c:cat>
          <c:val>
            <c:numRef>
              <c:f>('[1]ABRIL 2026'!$B$33,'[1]ABRIL 2026'!$C$33)</c:f>
              <c:numCache>
                <c:formatCode>General</c:formatCode>
                <c:ptCount val="2"/>
                <c:pt idx="0">
                  <c:v>282</c:v>
                </c:pt>
                <c:pt idx="1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26-4D47-AD37-2868C873E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DISTRIBUIÇÃO DE EXCEDENTES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2894978751321019"/>
          <c:y val="0.26060047671433811"/>
          <c:w val="0.35889865312606228"/>
          <c:h val="0.49751420975430877"/>
        </c:manualLayout>
      </c:layout>
      <c:doughnutChart>
        <c:varyColors val="1"/>
        <c:ser>
          <c:idx val="31"/>
          <c:order val="0"/>
          <c:tx>
            <c:strRef>
              <c:f>'[1]ABRIL 2026'!$A$33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C2-453C-B8DD-677E7F5BB35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C2-453C-B8DD-677E7F5BB351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'[1]ABRIL 2026'!$B$1:$I$1</c15:sqref>
                  </c15:fullRef>
                </c:ext>
              </c:extLst>
              <c:f>'[1]ABRIL 2026'!$F$1:$G$1</c:f>
              <c:strCache>
                <c:ptCount val="2"/>
                <c:pt idx="0">
                  <c:v>REFEIÇÕES (Qtd)</c:v>
                </c:pt>
                <c:pt idx="1">
                  <c:v>BEBIDAS (Qtd)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'[1]ABRIL 2026'!$B$33:$I$33</c15:sqref>
                  </c15:fullRef>
                </c:ext>
              </c:extLst>
              <c:f>'[1]ABRIL 2026'!$F$33:$G$33</c:f>
              <c:numCache>
                <c:formatCode>General</c:formatCode>
                <c:ptCount val="2"/>
                <c:pt idx="0">
                  <c:v>31</c:v>
                </c:pt>
                <c:pt idx="1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FFC2-453C-B8DD-677E7F5BB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14288</xdr:colOff>
      <xdr:row>0</xdr:row>
      <xdr:rowOff>9525</xdr:rowOff>
    </xdr:from>
    <xdr:to>
      <xdr:col>13</xdr:col>
      <xdr:colOff>600075</xdr:colOff>
      <xdr:row>10</xdr:row>
      <xdr:rowOff>190501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6B127D-66CC-46AB-BAB4-E59F99C62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</xdr:colOff>
      <xdr:row>11</xdr:row>
      <xdr:rowOff>9525</xdr:rowOff>
    </xdr:from>
    <xdr:to>
      <xdr:col>13</xdr:col>
      <xdr:colOff>600075</xdr:colOff>
      <xdr:row>21</xdr:row>
      <xdr:rowOff>190875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A855CA-731E-4B99-9DFA-CE5D10FF0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ales%20Bida/OneDrive/Documentos/FECHAMENTO%20HC%202026/FECHAMENTO%20ABRIL%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BRIL%20202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6"/>
      <sheetName val="FEV 26"/>
      <sheetName val="MAR 26"/>
      <sheetName val="ABRIL 2026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REFEIÇÕES (Qtd)</v>
          </cell>
          <cell r="C1" t="str">
            <v>BEBIDAS (Qtd)</v>
          </cell>
          <cell r="D1" t="str">
            <v>REF/BEB (R$)</v>
          </cell>
          <cell r="E1" t="str">
            <v>TOTAL DIA</v>
          </cell>
          <cell r="F1" t="str">
            <v>REFEIÇÕES (Qtd)</v>
          </cell>
          <cell r="G1" t="str">
            <v>BEBIDAS (Qtd)</v>
          </cell>
          <cell r="H1" t="str">
            <v>REF/BEB (R$)</v>
          </cell>
          <cell r="I1" t="str">
            <v>TOTAL DIA</v>
          </cell>
        </row>
        <row r="33">
          <cell r="A33" t="str">
            <v>TOTAL</v>
          </cell>
          <cell r="B33">
            <v>282</v>
          </cell>
          <cell r="C33">
            <v>274</v>
          </cell>
          <cell r="D33">
            <v>9119.23</v>
          </cell>
          <cell r="E33" t="str">
            <v>ALUGUEL</v>
          </cell>
          <cell r="F33">
            <v>31</v>
          </cell>
          <cell r="G33">
            <v>6</v>
          </cell>
          <cell r="H33">
            <v>2531</v>
          </cell>
          <cell r="I33" t="str">
            <v>EXCEDENTES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RIL 202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E231-4D57-4208-9796-BDC652BB72DA}">
  <dimension ref="A1:N34"/>
  <sheetViews>
    <sheetView showGridLines="0" tabSelected="1" workbookViewId="0">
      <selection activeCell="F5" sqref="F5"/>
    </sheetView>
  </sheetViews>
  <sheetFormatPr defaultRowHeight="15" x14ac:dyDescent="0.25"/>
  <cols>
    <col min="2" max="9" width="13.140625" customWidth="1"/>
    <col min="10" max="10" width="13.28515625" bestFit="1" customWidth="1"/>
  </cols>
  <sheetData>
    <row r="1" spans="1:14" ht="15.75" thickBot="1" x14ac:dyDescent="0.3">
      <c r="A1" s="23" t="s">
        <v>8</v>
      </c>
      <c r="B1" s="22" t="s">
        <v>7</v>
      </c>
      <c r="C1" s="22" t="s">
        <v>6</v>
      </c>
      <c r="D1" s="22" t="s">
        <v>5</v>
      </c>
      <c r="E1" s="22" t="s">
        <v>4</v>
      </c>
      <c r="F1" s="21" t="s">
        <v>7</v>
      </c>
      <c r="G1" s="21" t="s">
        <v>6</v>
      </c>
      <c r="H1" s="21" t="s">
        <v>5</v>
      </c>
      <c r="I1" s="21" t="s">
        <v>4</v>
      </c>
    </row>
    <row r="2" spans="1:14" ht="15.75" thickBot="1" x14ac:dyDescent="0.3">
      <c r="A2" s="14">
        <v>46113</v>
      </c>
      <c r="B2" s="13">
        <v>11</v>
      </c>
      <c r="C2" s="13">
        <v>9</v>
      </c>
      <c r="D2" s="12">
        <f>7+42+24+250+25</f>
        <v>348</v>
      </c>
      <c r="E2" s="11">
        <f>D2</f>
        <v>348</v>
      </c>
      <c r="F2" s="13"/>
      <c r="G2" s="13"/>
      <c r="H2" s="12"/>
      <c r="I2" s="11">
        <f>H2</f>
        <v>0</v>
      </c>
      <c r="J2" s="10"/>
      <c r="K2" s="10"/>
      <c r="L2" s="10"/>
      <c r="M2" s="10"/>
      <c r="N2" s="10"/>
    </row>
    <row r="3" spans="1:14" ht="15.75" thickBot="1" x14ac:dyDescent="0.3">
      <c r="A3" s="14">
        <v>46114</v>
      </c>
      <c r="B3" s="13">
        <v>9</v>
      </c>
      <c r="C3" s="13">
        <v>7</v>
      </c>
      <c r="D3" s="12">
        <f>7+25+21+36+200</f>
        <v>289</v>
      </c>
      <c r="E3" s="11">
        <f>D3</f>
        <v>289</v>
      </c>
      <c r="F3" s="13"/>
      <c r="G3" s="13"/>
      <c r="H3" s="12"/>
      <c r="I3" s="11">
        <f>H3</f>
        <v>0</v>
      </c>
      <c r="J3" s="10"/>
      <c r="K3" s="10"/>
      <c r="L3" s="10"/>
      <c r="M3" s="10"/>
      <c r="N3" s="10"/>
    </row>
    <row r="4" spans="1:14" ht="15.75" thickBot="1" x14ac:dyDescent="0.3">
      <c r="A4" s="14">
        <v>46115</v>
      </c>
      <c r="B4" s="13">
        <v>4</v>
      </c>
      <c r="C4" s="13">
        <v>4</v>
      </c>
      <c r="D4" s="12">
        <f>14+12+10+100</f>
        <v>136</v>
      </c>
      <c r="E4" s="11">
        <f>D4</f>
        <v>136</v>
      </c>
      <c r="F4" s="13"/>
      <c r="G4" s="13"/>
      <c r="H4" s="12"/>
      <c r="I4" s="11">
        <f>H4</f>
        <v>0</v>
      </c>
      <c r="J4" s="10"/>
      <c r="K4" s="10"/>
      <c r="L4" s="10"/>
      <c r="M4" s="10"/>
      <c r="N4" s="10"/>
    </row>
    <row r="5" spans="1:14" ht="15.75" thickBot="1" x14ac:dyDescent="0.3">
      <c r="A5" s="14">
        <v>46116</v>
      </c>
      <c r="B5" s="13">
        <v>6</v>
      </c>
      <c r="C5" s="13">
        <v>9</v>
      </c>
      <c r="D5" s="12">
        <f>7+12+7+14+50+14+12+5+100</f>
        <v>221</v>
      </c>
      <c r="E5" s="11">
        <f>D5</f>
        <v>221</v>
      </c>
      <c r="F5" s="13"/>
      <c r="G5" s="13"/>
      <c r="H5" s="12"/>
      <c r="I5" s="11">
        <f>H5</f>
        <v>0</v>
      </c>
      <c r="J5" s="10"/>
      <c r="K5" s="10"/>
      <c r="L5" s="10"/>
      <c r="M5" s="10"/>
      <c r="N5" s="10"/>
    </row>
    <row r="6" spans="1:14" ht="15.75" thickBot="1" x14ac:dyDescent="0.3">
      <c r="A6" s="14">
        <v>46117</v>
      </c>
      <c r="B6" s="13">
        <v>4</v>
      </c>
      <c r="C6" s="13">
        <v>5</v>
      </c>
      <c r="D6" s="12">
        <f>7+30+21+12+75</f>
        <v>145</v>
      </c>
      <c r="E6" s="11">
        <f>D6</f>
        <v>145</v>
      </c>
      <c r="F6" s="13"/>
      <c r="G6" s="13"/>
      <c r="H6" s="12"/>
      <c r="I6" s="11">
        <f>H6</f>
        <v>0</v>
      </c>
      <c r="J6" s="10"/>
      <c r="K6" s="10"/>
      <c r="L6" s="10"/>
      <c r="M6" s="10"/>
      <c r="N6" s="10"/>
    </row>
    <row r="7" spans="1:14" ht="15.75" thickBot="1" x14ac:dyDescent="0.3">
      <c r="A7" s="14">
        <v>46118</v>
      </c>
      <c r="B7" s="13">
        <v>13</v>
      </c>
      <c r="C7" s="13">
        <v>10</v>
      </c>
      <c r="D7" s="12">
        <f>7+25+28+36+20+300</f>
        <v>416</v>
      </c>
      <c r="E7" s="11">
        <f>D7</f>
        <v>416</v>
      </c>
      <c r="F7" s="13"/>
      <c r="G7" s="13"/>
      <c r="H7" s="12"/>
      <c r="I7" s="11">
        <f>H7</f>
        <v>0</v>
      </c>
      <c r="J7" s="10"/>
      <c r="K7" s="10"/>
      <c r="L7" s="10"/>
      <c r="M7" s="10"/>
      <c r="N7" s="10"/>
    </row>
    <row r="8" spans="1:14" ht="15.75" thickBot="1" x14ac:dyDescent="0.3">
      <c r="A8" s="14">
        <v>46119</v>
      </c>
      <c r="B8" s="13">
        <v>10</v>
      </c>
      <c r="C8" s="13">
        <v>11</v>
      </c>
      <c r="D8" s="12">
        <f>7+25+28+24+10+4.5+12+225</f>
        <v>335.5</v>
      </c>
      <c r="E8" s="11">
        <f>D8</f>
        <v>335.5</v>
      </c>
      <c r="F8" s="13"/>
      <c r="G8" s="13"/>
      <c r="H8" s="12"/>
      <c r="I8" s="11">
        <f>H8</f>
        <v>0</v>
      </c>
      <c r="J8" s="10"/>
      <c r="K8" s="10"/>
      <c r="L8" s="10"/>
      <c r="M8" s="10"/>
      <c r="N8" s="10"/>
    </row>
    <row r="9" spans="1:14" ht="15.75" thickBot="1" x14ac:dyDescent="0.3">
      <c r="A9" s="14">
        <v>46120</v>
      </c>
      <c r="B9" s="17"/>
      <c r="C9" s="17"/>
      <c r="D9" s="16"/>
      <c r="E9" s="15">
        <f>D9</f>
        <v>0</v>
      </c>
      <c r="F9" s="17"/>
      <c r="G9" s="17"/>
      <c r="H9" s="16"/>
      <c r="I9" s="15">
        <f>H9</f>
        <v>0</v>
      </c>
      <c r="J9" s="10"/>
      <c r="K9" s="10"/>
      <c r="L9" s="10"/>
      <c r="M9" s="10"/>
      <c r="N9" s="10"/>
    </row>
    <row r="10" spans="1:14" ht="15.75" thickBot="1" x14ac:dyDescent="0.3">
      <c r="A10" s="14">
        <v>46121</v>
      </c>
      <c r="B10" s="13">
        <v>23</v>
      </c>
      <c r="C10" s="13">
        <v>21</v>
      </c>
      <c r="D10" s="12">
        <f>375+101</f>
        <v>476</v>
      </c>
      <c r="E10" s="11">
        <f>D10</f>
        <v>476</v>
      </c>
      <c r="F10" s="17">
        <v>8</v>
      </c>
      <c r="G10" s="17">
        <v>6</v>
      </c>
      <c r="H10" s="16">
        <f>24+5+24+10+200</f>
        <v>263</v>
      </c>
      <c r="I10" s="15">
        <f>H10</f>
        <v>263</v>
      </c>
      <c r="J10" s="10"/>
      <c r="K10" s="10"/>
      <c r="L10" s="10"/>
      <c r="M10" s="10"/>
      <c r="N10" s="10"/>
    </row>
    <row r="11" spans="1:14" ht="15.75" thickBot="1" x14ac:dyDescent="0.3">
      <c r="A11" s="14">
        <v>46122</v>
      </c>
      <c r="B11" s="13">
        <v>10</v>
      </c>
      <c r="C11" s="13">
        <v>11</v>
      </c>
      <c r="D11" s="12">
        <f>7+30+18+18+4+28+24+5+225</f>
        <v>359</v>
      </c>
      <c r="E11" s="11">
        <f>D11</f>
        <v>359</v>
      </c>
      <c r="F11" s="13"/>
      <c r="G11" s="13"/>
      <c r="H11" s="12"/>
      <c r="I11" s="11">
        <f>H11</f>
        <v>0</v>
      </c>
      <c r="J11" s="10"/>
      <c r="K11" s="10"/>
      <c r="L11" s="10"/>
      <c r="M11" s="10"/>
      <c r="N11" s="10"/>
    </row>
    <row r="12" spans="1:14" ht="15.75" thickBot="1" x14ac:dyDescent="0.3">
      <c r="A12" s="14">
        <v>46123</v>
      </c>
      <c r="B12" s="13">
        <v>7</v>
      </c>
      <c r="C12" s="13">
        <v>7</v>
      </c>
      <c r="D12" s="12">
        <f>14+50+14+24+5+125</f>
        <v>232</v>
      </c>
      <c r="E12" s="11">
        <f>D12</f>
        <v>232</v>
      </c>
      <c r="F12" s="13"/>
      <c r="G12" s="13"/>
      <c r="H12" s="12"/>
      <c r="I12" s="11">
        <f>H12</f>
        <v>0</v>
      </c>
      <c r="J12" s="10"/>
      <c r="K12" s="10"/>
      <c r="L12" s="10"/>
      <c r="M12" s="10"/>
      <c r="N12" s="10"/>
    </row>
    <row r="13" spans="1:14" ht="15.75" thickBot="1" x14ac:dyDescent="0.3">
      <c r="A13" s="14">
        <v>46124</v>
      </c>
      <c r="B13" s="13">
        <v>8</v>
      </c>
      <c r="C13" s="13">
        <v>9</v>
      </c>
      <c r="D13" s="12">
        <f>7+30+7+25+21+12+10+10+150</f>
        <v>272</v>
      </c>
      <c r="E13" s="11">
        <f>D13</f>
        <v>272</v>
      </c>
      <c r="F13" s="13"/>
      <c r="G13" s="13"/>
      <c r="H13" s="12"/>
      <c r="I13" s="11">
        <f>H13</f>
        <v>0</v>
      </c>
      <c r="J13" s="10"/>
      <c r="K13" s="10"/>
      <c r="L13" s="10"/>
      <c r="M13" s="10"/>
      <c r="N13" s="10"/>
    </row>
    <row r="14" spans="1:14" ht="15.75" thickBot="1" x14ac:dyDescent="0.3">
      <c r="A14" s="14">
        <v>46125</v>
      </c>
      <c r="B14" s="13">
        <v>12</v>
      </c>
      <c r="C14" s="13">
        <v>10</v>
      </c>
      <c r="D14" s="12">
        <f>30+30+42+24+5+4.5+250</f>
        <v>385.5</v>
      </c>
      <c r="E14" s="11">
        <f>D14</f>
        <v>385.5</v>
      </c>
      <c r="F14" s="13"/>
      <c r="G14" s="13"/>
      <c r="H14" s="12"/>
      <c r="I14" s="11">
        <f>H14</f>
        <v>0</v>
      </c>
      <c r="J14" s="10"/>
      <c r="K14" s="10"/>
      <c r="L14" s="10"/>
      <c r="M14" s="10"/>
      <c r="N14" s="10"/>
    </row>
    <row r="15" spans="1:14" ht="15.75" thickBot="1" x14ac:dyDescent="0.3">
      <c r="A15" s="14">
        <v>46126</v>
      </c>
      <c r="B15" s="13">
        <v>10</v>
      </c>
      <c r="C15" s="13">
        <v>7</v>
      </c>
      <c r="D15" s="12">
        <f>24+15+9+250</f>
        <v>298</v>
      </c>
      <c r="E15" s="11">
        <f>D15</f>
        <v>298</v>
      </c>
      <c r="F15" s="17">
        <v>20</v>
      </c>
      <c r="G15" s="17"/>
      <c r="H15" s="16">
        <f>998</f>
        <v>998</v>
      </c>
      <c r="I15" s="15">
        <f>H15</f>
        <v>998</v>
      </c>
      <c r="J15" s="10"/>
      <c r="K15" s="10"/>
      <c r="L15" s="10"/>
      <c r="M15" s="10"/>
      <c r="N15" s="10"/>
    </row>
    <row r="16" spans="1:14" ht="15.75" thickBot="1" x14ac:dyDescent="0.3">
      <c r="A16" s="14">
        <v>46127</v>
      </c>
      <c r="B16" s="13">
        <v>15</v>
      </c>
      <c r="C16" s="13">
        <v>14</v>
      </c>
      <c r="D16" s="12">
        <f>7+20+7+25+35+10+15+10+24+325</f>
        <v>478</v>
      </c>
      <c r="E16" s="11">
        <f>D16</f>
        <v>478</v>
      </c>
      <c r="F16" s="13"/>
      <c r="G16" s="13"/>
      <c r="H16" s="12"/>
      <c r="I16" s="11">
        <f>H16</f>
        <v>0</v>
      </c>
      <c r="J16" s="10"/>
      <c r="K16" s="10"/>
      <c r="L16" s="10"/>
      <c r="M16" s="10"/>
      <c r="N16" s="10"/>
    </row>
    <row r="17" spans="1:14" ht="15.75" thickBot="1" x14ac:dyDescent="0.3">
      <c r="A17" s="14">
        <v>46128</v>
      </c>
      <c r="B17" s="13">
        <v>12</v>
      </c>
      <c r="C17" s="13">
        <v>13</v>
      </c>
      <c r="D17" s="12">
        <f>7+30+35+12+20+15+4.5+275</f>
        <v>398.5</v>
      </c>
      <c r="E17" s="11">
        <f>D17</f>
        <v>398.5</v>
      </c>
      <c r="F17" s="13"/>
      <c r="G17" s="13"/>
      <c r="H17" s="12"/>
      <c r="I17" s="11">
        <f>H17</f>
        <v>0</v>
      </c>
      <c r="J17" s="10"/>
      <c r="K17" s="10"/>
      <c r="L17" s="10"/>
      <c r="M17" s="10"/>
      <c r="N17" s="10"/>
    </row>
    <row r="18" spans="1:14" ht="15.75" thickBot="1" x14ac:dyDescent="0.3">
      <c r="A18" s="14">
        <v>46129</v>
      </c>
      <c r="B18" s="13">
        <v>12</v>
      </c>
      <c r="C18" s="13">
        <v>12</v>
      </c>
      <c r="D18" s="12">
        <f>49.73+4.5+42+24+10+10+4.5+275</f>
        <v>419.73</v>
      </c>
      <c r="E18" s="11">
        <f>D18</f>
        <v>419.73</v>
      </c>
      <c r="F18" s="13"/>
      <c r="G18" s="13"/>
      <c r="H18" s="12"/>
      <c r="I18" s="11">
        <f>H18</f>
        <v>0</v>
      </c>
      <c r="J18" s="10"/>
      <c r="K18" s="10"/>
      <c r="L18" s="10"/>
      <c r="M18" s="10"/>
      <c r="N18" s="10"/>
    </row>
    <row r="19" spans="1:14" ht="15.75" thickBot="1" x14ac:dyDescent="0.3">
      <c r="A19" s="14">
        <v>46130</v>
      </c>
      <c r="B19" s="13">
        <v>8</v>
      </c>
      <c r="C19" s="13">
        <v>7</v>
      </c>
      <c r="D19" s="12">
        <f>14+50+7+5+20+10+150</f>
        <v>256</v>
      </c>
      <c r="E19" s="11">
        <f>D19</f>
        <v>256</v>
      </c>
      <c r="F19" s="13"/>
      <c r="G19" s="13"/>
      <c r="H19" s="12"/>
      <c r="I19" s="11">
        <f>H19</f>
        <v>0</v>
      </c>
      <c r="J19" s="10"/>
      <c r="K19" s="10"/>
      <c r="L19" s="10"/>
      <c r="M19" s="10"/>
      <c r="N19" s="10"/>
    </row>
    <row r="20" spans="1:14" ht="15.75" thickBot="1" x14ac:dyDescent="0.3">
      <c r="A20" s="14">
        <v>46131</v>
      </c>
      <c r="B20" s="13">
        <v>4</v>
      </c>
      <c r="C20" s="13">
        <v>4</v>
      </c>
      <c r="D20" s="12">
        <f>14+12+5+100</f>
        <v>131</v>
      </c>
      <c r="E20" s="11">
        <f>D20</f>
        <v>131</v>
      </c>
      <c r="F20" s="13"/>
      <c r="G20" s="13"/>
      <c r="H20" s="12"/>
      <c r="I20" s="11">
        <f>H20</f>
        <v>0</v>
      </c>
      <c r="J20" s="10"/>
      <c r="K20" s="10"/>
      <c r="L20" s="10"/>
      <c r="M20" s="10"/>
      <c r="N20" s="10"/>
    </row>
    <row r="21" spans="1:14" ht="15.75" thickBot="1" x14ac:dyDescent="0.3">
      <c r="A21" s="14">
        <v>46132</v>
      </c>
      <c r="B21" s="13">
        <v>11</v>
      </c>
      <c r="C21" s="13">
        <v>12</v>
      </c>
      <c r="D21" s="12">
        <f>49+24+15+275</f>
        <v>363</v>
      </c>
      <c r="E21" s="11">
        <f>D21</f>
        <v>363</v>
      </c>
      <c r="F21" s="13"/>
      <c r="G21" s="13"/>
      <c r="H21" s="12"/>
      <c r="I21" s="11">
        <f>H21</f>
        <v>0</v>
      </c>
      <c r="J21" s="10"/>
      <c r="K21" s="10"/>
      <c r="L21" s="10"/>
      <c r="M21" s="10"/>
      <c r="N21" s="10"/>
    </row>
    <row r="22" spans="1:14" ht="15.75" thickBot="1" x14ac:dyDescent="0.3">
      <c r="A22" s="14">
        <v>46133</v>
      </c>
      <c r="B22" s="13">
        <v>3</v>
      </c>
      <c r="C22" s="13">
        <v>3</v>
      </c>
      <c r="D22" s="12">
        <f>24+10+75</f>
        <v>109</v>
      </c>
      <c r="E22" s="11">
        <f>D22</f>
        <v>109</v>
      </c>
      <c r="F22" s="13"/>
      <c r="G22" s="13"/>
      <c r="H22" s="12"/>
      <c r="I22" s="11">
        <f>H22</f>
        <v>0</v>
      </c>
      <c r="J22" s="10"/>
      <c r="K22" s="10"/>
      <c r="L22" s="10"/>
      <c r="M22" s="10"/>
      <c r="N22" s="10"/>
    </row>
    <row r="23" spans="1:14" ht="15.75" thickBot="1" x14ac:dyDescent="0.3">
      <c r="A23" s="14">
        <v>46134</v>
      </c>
      <c r="B23" s="13">
        <v>13</v>
      </c>
      <c r="C23" s="13">
        <v>13</v>
      </c>
      <c r="D23" s="12">
        <f>7+30+42+10+10+36+325</f>
        <v>460</v>
      </c>
      <c r="E23" s="11">
        <f>D23</f>
        <v>460</v>
      </c>
      <c r="F23" s="17">
        <v>2</v>
      </c>
      <c r="G23" s="17"/>
      <c r="H23" s="16">
        <f>180+100</f>
        <v>280</v>
      </c>
      <c r="I23" s="15">
        <f>H23</f>
        <v>280</v>
      </c>
      <c r="J23" s="10"/>
      <c r="K23" s="10"/>
      <c r="L23" s="10"/>
      <c r="M23" s="10"/>
      <c r="N23" s="10"/>
    </row>
    <row r="24" spans="1:14" ht="15.75" thickBot="1" x14ac:dyDescent="0.3">
      <c r="A24" s="14">
        <v>46135</v>
      </c>
      <c r="B24" s="13">
        <v>13</v>
      </c>
      <c r="C24" s="13">
        <v>13</v>
      </c>
      <c r="D24" s="12">
        <f>7+25+35+48+15+300</f>
        <v>430</v>
      </c>
      <c r="E24" s="11">
        <f>D24</f>
        <v>430</v>
      </c>
      <c r="F24" s="13"/>
      <c r="G24" s="13"/>
      <c r="H24" s="12"/>
      <c r="I24" s="11">
        <f>H24</f>
        <v>0</v>
      </c>
      <c r="J24" s="10"/>
      <c r="K24" s="10"/>
      <c r="L24" s="10"/>
      <c r="M24" s="10"/>
      <c r="N24" s="10"/>
    </row>
    <row r="25" spans="1:14" ht="15.75" thickBot="1" x14ac:dyDescent="0.3">
      <c r="A25" s="14">
        <v>46136</v>
      </c>
      <c r="B25" s="13">
        <v>12</v>
      </c>
      <c r="C25" s="13">
        <v>13</v>
      </c>
      <c r="D25" s="12">
        <f>42+60+10+300</f>
        <v>412</v>
      </c>
      <c r="E25" s="11">
        <f>D25</f>
        <v>412</v>
      </c>
      <c r="F25" s="20"/>
      <c r="G25" s="20"/>
      <c r="H25" s="19"/>
      <c r="I25" s="18">
        <f>H25</f>
        <v>0</v>
      </c>
      <c r="J25" s="10"/>
      <c r="K25" s="10"/>
      <c r="L25" s="10"/>
      <c r="M25" s="10"/>
      <c r="N25" s="10"/>
    </row>
    <row r="26" spans="1:14" ht="15.75" thickBot="1" x14ac:dyDescent="0.3">
      <c r="A26" s="14">
        <v>46137</v>
      </c>
      <c r="B26" s="13">
        <v>7</v>
      </c>
      <c r="C26" s="13">
        <v>8</v>
      </c>
      <c r="D26" s="12">
        <f>14+120+8+14+50+7+12+75</f>
        <v>300</v>
      </c>
      <c r="E26" s="11">
        <f>D26</f>
        <v>300</v>
      </c>
      <c r="F26" s="17">
        <v>1</v>
      </c>
      <c r="G26" s="17"/>
      <c r="H26" s="16">
        <v>990</v>
      </c>
      <c r="I26" s="15">
        <f>H26</f>
        <v>990</v>
      </c>
      <c r="J26" s="10"/>
      <c r="K26" s="10"/>
      <c r="L26" s="10"/>
      <c r="M26" s="10"/>
      <c r="N26" s="10"/>
    </row>
    <row r="27" spans="1:14" ht="15.75" thickBot="1" x14ac:dyDescent="0.3">
      <c r="A27" s="14">
        <v>46138</v>
      </c>
      <c r="B27" s="13">
        <v>8</v>
      </c>
      <c r="C27" s="13">
        <v>7</v>
      </c>
      <c r="D27" s="12">
        <f>14+50+7+25+36+7+10+20+75</f>
        <v>244</v>
      </c>
      <c r="E27" s="11">
        <f>D27</f>
        <v>244</v>
      </c>
      <c r="F27" s="13"/>
      <c r="G27" s="13"/>
      <c r="H27" s="12"/>
      <c r="I27" s="11">
        <f>H27</f>
        <v>0</v>
      </c>
      <c r="J27" s="10"/>
      <c r="K27" s="10"/>
      <c r="L27" s="10"/>
      <c r="M27" s="10"/>
      <c r="N27" s="10"/>
    </row>
    <row r="28" spans="1:14" ht="15.75" thickBot="1" x14ac:dyDescent="0.3">
      <c r="A28" s="14">
        <v>46139</v>
      </c>
      <c r="B28" s="13">
        <v>12</v>
      </c>
      <c r="C28" s="13">
        <v>11</v>
      </c>
      <c r="D28" s="12">
        <f>21+15+10+48+300</f>
        <v>394</v>
      </c>
      <c r="E28" s="11">
        <f>D28</f>
        <v>394</v>
      </c>
      <c r="F28" s="13"/>
      <c r="G28" s="13"/>
      <c r="H28" s="12"/>
      <c r="I28" s="11">
        <f>H28</f>
        <v>0</v>
      </c>
      <c r="J28" s="10"/>
      <c r="K28" s="10"/>
      <c r="L28" s="10"/>
      <c r="M28" s="10"/>
      <c r="N28" s="10"/>
    </row>
    <row r="29" spans="1:14" ht="15.75" thickBot="1" x14ac:dyDescent="0.3">
      <c r="A29" s="14">
        <v>46140</v>
      </c>
      <c r="B29" s="13">
        <v>14</v>
      </c>
      <c r="C29" s="13">
        <v>14</v>
      </c>
      <c r="D29" s="12">
        <f>18+7+30+7+30+28+12+10+10+9+24+275</f>
        <v>460</v>
      </c>
      <c r="E29" s="11">
        <f>D29</f>
        <v>460</v>
      </c>
      <c r="F29" s="13"/>
      <c r="G29" s="13"/>
      <c r="H29" s="12"/>
      <c r="I29" s="11">
        <f>H29</f>
        <v>0</v>
      </c>
      <c r="J29" s="10"/>
      <c r="K29" s="10"/>
      <c r="L29" s="10"/>
      <c r="M29" s="10"/>
      <c r="N29" s="10"/>
    </row>
    <row r="30" spans="1:14" ht="15.75" thickBot="1" x14ac:dyDescent="0.3">
      <c r="A30" s="14">
        <v>46141</v>
      </c>
      <c r="B30" s="17"/>
      <c r="C30" s="17"/>
      <c r="D30" s="16"/>
      <c r="E30" s="15">
        <f>D30</f>
        <v>0</v>
      </c>
      <c r="F30" s="17"/>
      <c r="G30" s="17"/>
      <c r="H30" s="16"/>
      <c r="I30" s="15">
        <f>H30</f>
        <v>0</v>
      </c>
      <c r="J30" s="10"/>
      <c r="K30" s="10"/>
      <c r="L30" s="10"/>
      <c r="M30" s="10"/>
      <c r="N30" s="10"/>
    </row>
    <row r="31" spans="1:14" ht="15.75" thickBot="1" x14ac:dyDescent="0.3">
      <c r="A31" s="14">
        <v>46142</v>
      </c>
      <c r="B31" s="13">
        <v>11</v>
      </c>
      <c r="C31" s="13">
        <v>10</v>
      </c>
      <c r="D31" s="12">
        <f>5+21+10+4+36+250+10+15</f>
        <v>351</v>
      </c>
      <c r="E31" s="11">
        <f>D31</f>
        <v>351</v>
      </c>
      <c r="F31" s="13"/>
      <c r="G31" s="13"/>
      <c r="H31" s="12"/>
      <c r="I31" s="11">
        <f>H31</f>
        <v>0</v>
      </c>
      <c r="J31" s="10"/>
      <c r="K31" s="10"/>
      <c r="L31" s="10"/>
      <c r="M31" s="10"/>
      <c r="N31" s="10"/>
    </row>
    <row r="32" spans="1:14" ht="15.75" thickBot="1" x14ac:dyDescent="0.3">
      <c r="A32" s="14"/>
      <c r="B32" s="13"/>
      <c r="C32" s="13"/>
      <c r="D32" s="12"/>
      <c r="E32" s="11">
        <f>D32</f>
        <v>0</v>
      </c>
      <c r="F32" s="13"/>
      <c r="G32" s="13"/>
      <c r="H32" s="12"/>
      <c r="I32" s="11">
        <f>H32</f>
        <v>0</v>
      </c>
      <c r="J32" s="10"/>
      <c r="K32" s="10"/>
      <c r="L32" s="10"/>
      <c r="M32" s="10"/>
      <c r="N32" s="10"/>
    </row>
    <row r="33" spans="1:10" ht="18" thickBot="1" x14ac:dyDescent="0.3">
      <c r="A33" s="9" t="s">
        <v>3</v>
      </c>
      <c r="B33" s="7">
        <f>SUM(B2:B32)</f>
        <v>282</v>
      </c>
      <c r="C33" s="7">
        <f>SUM(C2:C32)</f>
        <v>274</v>
      </c>
      <c r="D33" s="6">
        <f>SUM(D2:D32)</f>
        <v>9119.23</v>
      </c>
      <c r="E33" s="8" t="s">
        <v>2</v>
      </c>
      <c r="F33" s="7">
        <f>SUM(F2:F32)</f>
        <v>31</v>
      </c>
      <c r="G33" s="7">
        <f>SUM(G2:G32)</f>
        <v>6</v>
      </c>
      <c r="H33" s="6">
        <f>SUM(H2:H32)</f>
        <v>2531</v>
      </c>
      <c r="I33" s="5" t="s">
        <v>1</v>
      </c>
      <c r="J33" s="4" t="s">
        <v>0</v>
      </c>
    </row>
    <row r="34" spans="1:10" ht="18" thickBot="1" x14ac:dyDescent="0.45">
      <c r="E34" s="3">
        <f>SUM(E2:E32)</f>
        <v>9119.23</v>
      </c>
      <c r="I34" s="2">
        <f>SUM(I2:I32)</f>
        <v>2531</v>
      </c>
      <c r="J34" s="1">
        <f>SUM(E34,I34)</f>
        <v>11650.23</v>
      </c>
    </row>
  </sheetData>
  <conditionalFormatting sqref="B2:B9 B11:B32">
    <cfRule type="expression" dxfId="3" priority="4">
      <formula>B2&gt;15</formula>
    </cfRule>
  </conditionalFormatting>
  <conditionalFormatting sqref="C2:C9 C11:C32">
    <cfRule type="expression" dxfId="2" priority="3">
      <formula>C2&gt;15</formula>
    </cfRule>
  </conditionalFormatting>
  <conditionalFormatting sqref="B10">
    <cfRule type="expression" dxfId="1" priority="2">
      <formula>B10&gt;15</formula>
    </cfRule>
  </conditionalFormatting>
  <conditionalFormatting sqref="C10">
    <cfRule type="expression" dxfId="0" priority="1">
      <formula>C10&gt;15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Financeira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Bida</dc:creator>
  <cp:lastModifiedBy>Thales Bida</cp:lastModifiedBy>
  <dcterms:created xsi:type="dcterms:W3CDTF">2026-05-12T18:39:17Z</dcterms:created>
  <dcterms:modified xsi:type="dcterms:W3CDTF">2026-05-12T18:44:04Z</dcterms:modified>
</cp:coreProperties>
</file>